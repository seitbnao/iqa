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juni\OneDrive\Área de Trabalho\"/>
    </mc:Choice>
  </mc:AlternateContent>
  <xr:revisionPtr revIDLastSave="0" documentId="13_ncr:1_{0F64570F-94B7-4CF1-A8F0-2357B94B3559}" xr6:coauthVersionLast="47" xr6:coauthVersionMax="47" xr10:uidLastSave="{00000000-0000-0000-0000-000000000000}"/>
  <bookViews>
    <workbookView xWindow="-120" yWindow="-120" windowWidth="29040" windowHeight="15720" xr2:uid="{E28F06D1-CBC9-4CE9-9DC9-BA2A8710DCBA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 a="1"/>
  <c r="M2" i="1" l="1"/>
  <c r="N2" i="1" a="1"/>
  <c r="N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<sst xmlns="http://schemas.openxmlformats.org/spreadsheetml/2006/main" count="15" uniqueCount="15">
  <si>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Amostra</t>
  </si>
  <si>
    <t>Oxigênio (mg/L)</t>
  </si>
  <si>
    <t>Coliformes (NMP/100mL)</t>
  </si>
  <si>
    <t>pH</t>
  </si>
  <si>
    <t>DBO (mg/L)</t>
  </si>
  <si>
    <t>Nitrato (mg/L)</t>
  </si>
  <si>
    <t>Fosfato (mg/L)</t>
  </si>
  <si>
    <t>Temperatura (°C)</t>
  </si>
  <si>
    <t>Turbidez (NTU)</t>
  </si>
  <si>
    <t>Sólidos Totais (mg/L)</t>
  </si>
  <si>
    <t>Altitude (m)</t>
  </si>
  <si>
    <t>Tipo de Fosfato</t>
  </si>
  <si>
    <t>IQA</t>
  </si>
  <si>
    <t>CLASSIFICAÇÃO</t>
  </si>
  <si>
    <t>fosforo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</si>
</sst>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0" fillId="0" borderId="0" xfId="0" applyNumberFormat="1"/>
    <xf numFmtId="49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9671-2C25-4670-B224-DADAA84092CB}">
  <sheetPr codeName="Planilha1"/>
  <dimension ref="A1:N6"/>
  <sheetViews>
    <sheetView tabSelected="1" workbookViewId="0">
      <selection activeCell="M7" sqref="M7"/>
    </sheetView>
  </sheetViews>
  <sheetFormatPr defaultRowHeight="15" x14ac:dyDescent="0.25"/>
  <cols>
    <col min="2" max="2" width="16.85546875" customWidth="1"/>
    <col min="3" max="3" width="17.140625" style="5" customWidth="1"/>
    <col min="4" max="4" width="14.28515625" style="5" customWidth="1"/>
    <col min="5" max="5" width="11.85546875" style="5" customWidth="1"/>
    <col min="6" max="6" width="13" style="5" customWidth="1"/>
    <col min="7" max="7" width="12.42578125" style="5" customWidth="1"/>
    <col min="8" max="8" width="17.7109375" style="5" customWidth="1"/>
    <col min="9" max="9" width="16.7109375" style="5" customWidth="1"/>
    <col min="10" max="10" width="14.28515625" style="5" customWidth="1"/>
    <col min="11" max="11" width="12.7109375" style="5" customWidth="1"/>
    <col min="12" max="12" width="12" style="8" customWidth="1"/>
    <col min="13" max="13" width="13.85546875" customWidth="1"/>
    <col min="14" max="14" width="15.140625" customWidth="1"/>
  </cols>
  <sheetData>
    <row r="1" spans="1:14" ht="60" x14ac:dyDescent="0.25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6" t="s">
        <v>11</v>
      </c>
      <c r="M1" s="1" t="s">
        <v>12</v>
      </c>
      <c r="N1" s="3" t="s">
        <v>13</v>
      </c>
    </row>
    <row r="2" spans="1:14" x14ac:dyDescent="0.25">
      <c r="A2" s="10">
        <v>1</v>
      </c>
      <c r="B2" s="10">
        <v>8</v>
      </c>
      <c r="C2" s="11">
        <v>10</v>
      </c>
      <c r="D2" s="11">
        <v>6.8</v>
      </c>
      <c r="E2" s="11">
        <v>3</v>
      </c>
      <c r="F2" s="11">
        <v>0.3</v>
      </c>
      <c r="G2" s="11">
        <v>0.05</v>
      </c>
      <c r="H2" s="11">
        <v>22</v>
      </c>
      <c r="I2" s="11">
        <v>20</v>
      </c>
      <c r="J2" s="11">
        <v>100</v>
      </c>
      <c r="K2" s="11">
        <v>200</v>
      </c>
      <c r="L2" s="12" t="s">
        <v>14</v>
      </c>
      <c r="M2" cm="1">
        <f t="array" ref="M2">IQA(B2:L2)</f>
        <v>82.224435060217488</v>
      </c>
      <c r="N2" s="9" t="str" cm="1">
        <f t="array" ref="N2">ClassificaIQA(M2)</f>
        <v>ÓTIMA</v>
      </c>
    </row>
    <row r="3" spans="1:14" x14ac:dyDescent="0.25">
      <c r="A3" s="2"/>
      <c r="B3" s="2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4" x14ac:dyDescent="0.25">
      <c r="A4" s="2"/>
      <c r="B4" s="2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4" x14ac:dyDescent="0.25">
      <c r="A5" s="2"/>
      <c r="B5" s="2"/>
      <c r="C5" s="4"/>
      <c r="D5" s="4"/>
      <c r="E5" s="4"/>
      <c r="F5" s="4"/>
      <c r="G5" s="4"/>
      <c r="H5" s="4"/>
      <c r="I5" s="4"/>
      <c r="J5" s="4"/>
      <c r="K5" s="4"/>
      <c r="L5" s="7"/>
    </row>
    <row r="6" spans="1:14" x14ac:dyDescent="0.25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Djunio Filho</dc:creator>
  <cp:lastModifiedBy>Djunio Filho</cp:lastModifiedBy>
  <dcterms:created xsi:type="dcterms:W3CDTF">2024-10-13T13:16:23Z</dcterms:created>
  <dcterms:modified xsi:type="dcterms:W3CDTF">2024-10-13T20:53:50Z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2024-10-13T13:22:57Z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af6e1975-9d31-4bc7-99b9-69790e8df818</vt:lpwstr>
  </property>
  <property fmtid="{D5CDD505-2E9C-101B-9397-08002B2CF9AE}" pid="7" name="MSIP_Label_defa4170-0d19-0005-0004-bc88714345d2_ActionId">
    <vt:lpwstr>c7083ba7-17da-4254-be58-8bf110e433f3</vt:lpwstr>
  </property>
  <property fmtid="{D5CDD505-2E9C-101B-9397-08002B2CF9AE}" pid="8" name="MSIP_Label_defa4170-0d19-0005-0004-bc88714345d2_ContentBits">
    <vt:lpwstr>0</vt:lpwstr>
  </property>
</Properties>
</file>